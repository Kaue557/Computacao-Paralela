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quencial" sheetId="1" state="visible" r:id="rId3"/>
    <sheet name="Paralela_OpenM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<sst xmlns="http://schemas.openxmlformats.org/spreadsheetml/2006/main" count="16" uniqueCount="14">
  <si>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Versão sequencial - multiplicação de matrizes com blocagem (matmul_seq.c)</t>
  </si>
  <si>
    <t xml:space="preserve">Legenda: fundo amarelo e fonte azul = ENTRADA (cole o tempo médio de 3 execuções, em segundos, de resultados_ex3.csv; ex.: 4,5123). Esta versão não usa threads: seu tempo é a referência (T_seq) do speedup.</t>
  </si>
  <si>
    <t xml:space="preserve">Versão</t>
  </si>
  <si>
    <t xml:space="preserve">Threads</t>
  </si>
  <si>
    <t xml:space="preserve">N (matriz N×N)</t>
  </si>
  <si>
    <t xml:space="preserve">Tempo médio de 3 execuções (s)</t>
  </si>
  <si>
    <t xml:space="preserve">Sequencial</t>
  </si>
  <si>
    <t xml:space="preserve">Versão paralela OpenMP - blocagem + parallel for collapse(2) (matmul_omp.c)</t>
  </si>
  <si>
    <t xml:space="preserve">Legenda: fundo amarelo e fonte azul = ENTRADA (tempo médio de 3 execuções, em segundos). Speedup (vs seq.) = T_seq / T(p), com T_seq na aba Sequencial. Speedup (vs 1 thread) = T(1)/T(p). Eficiência = speedup (vs seq.) / p.</t>
  </si>
  <si>
    <t xml:space="preserve">N =</t>
  </si>
  <si>
    <t xml:space="preserve">Speedup (vs sequencial)</t>
  </si>
  <si>
    <t xml:space="preserve">Speedup (vs 1 thread OpenMP)</t>
  </si>
  <si>
    <t xml:space="preserve">Speedup ideal</t>
  </si>
  <si>
    <t xml:space="preserve">Eficiência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</si>
</sst>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Speedup - versão OpenMP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Paralela_OpenMP!C5</c:f>
              <c:strCache>
                <c:ptCount val="1"/>
                <c:pt idx="0">
                  <c:v>Speedup (vs sequencial)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Paralela_OpenMP!$A$6:$A$11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Paralela_OpenMP!$C$6:$C$11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1"/>
          <c:order val="1"/>
          <c:tx>
            <c:strRef>
              <c:f>Paralela_OpenMP!D5</c:f>
              <c:strCache>
                <c:ptCount val="1"/>
                <c:pt idx="0">
                  <c:v>Speedup (vs 1 thread OpenMP)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Paralela_OpenMP!$A$6:$A$11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Paralela_OpenMP!$D$6:$D$11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2"/>
          <c:order val="2"/>
          <c:tx>
            <c:strRef>
              <c:f>Paralela_OpenMP!E5</c:f>
              <c:strCache>
                <c:ptCount val="1"/>
                <c:pt idx="0">
                  <c:v>Speedup ideal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Paralela_OpenMP!$A$6:$A$11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Paralela_OpenMP!$E$6:$E$11</c:f>
              <c:numCache>
                <c:formatCode>0.00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584533"/>
        <c:axId val="19833822"/>
      </c:lineChart>
      <c:catAx>
        <c:axId val="13584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33822"/>
        <c:crosses val="autoZero"/>
        <c:auto val="1"/>
        <c:lblAlgn val="ctr"/>
        <c:lblOffset val="100"/>
        <c:noMultiLvlLbl val="0"/>
      </c:catAx>
      <c:valAx>
        <c:axId val="19833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845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175680</xdr:rowOff>
    </xdr:from>
    <xdr:to>
      <xdr:col>4</xdr:col>
      <xdr:colOff>825840</xdr:colOff>
      <xdr:row>29</xdr:row>
      <xdr:rowOff>177120</xdr:rowOff>
    </xdr:to>
    <xdr:graphicFrame>
      <xdr:nvGraphicFramePr>
        <xdr:cNvPr id="0" name="Chart 1"/>
        <xdr:cNvGraphicFramePr/>
      </xdr:nvGraphicFramePr>
      <xdr:xfrm>
        <a:off x="0" y="2685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v>1</v>
      </c>
      <c r="C5" s="5" t="n">
        <v>2048</v>
      </c>
      <c r="D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8</v>
      </c>
    </row>
    <row r="3" customFormat="false" ht="15" hidden="false" customHeight="false" outlineLevel="0" collapsed="false">
      <c r="A3" s="7" t="s">
        <v>9</v>
      </c>
      <c r="B3" s="8" t="n">
        <f aca="false">Sequencial!C5</f>
        <v>2048</v>
      </c>
    </row>
    <row r="5" customFormat="false" ht="31.5" hidden="false" customHeight="true" outlineLevel="0" collapsed="false">
      <c r="A5" s="3" t="s">
        <v>3</v>
      </c>
      <c r="B5" s="3" t="s">
        <v>5</v>
      </c>
      <c r="C5" s="3" t="s">
        <v>10</v>
      </c>
      <c r="D5" s="3" t="s">
        <v>11</v>
      </c>
      <c r="E5" s="3" t="s">
        <v>12</v>
      </c>
      <c r="F5" s="3" t="s">
        <v>13</v>
      </c>
    </row>
    <row r="6" customFormat="false" ht="15" hidden="false" customHeight="false" outlineLevel="0" collapsed="false">
      <c r="A6" s="4" t="n">
        <v>1</v>
      </c>
      <c r="B6" s="6"/>
      <c r="C6" s="9" t="str">
        <f aca="false">IF(B6="","",Sequencial!$D$5/B6)</f>
        <v/>
      </c>
      <c r="D6" s="9" t="str">
        <f aca="false">IF(B6="","",$B$6/B6)</f>
        <v/>
      </c>
      <c r="E6" s="9" t="n">
        <f aca="false">A6</f>
        <v>1</v>
      </c>
      <c r="F6" s="10" t="str">
        <f aca="false">IF(B6="","",C6/A6)</f>
        <v/>
      </c>
    </row>
    <row r="7" customFormat="false" ht="15" hidden="false" customHeight="false" outlineLevel="0" collapsed="false">
      <c r="A7" s="4" t="n">
        <v>2</v>
      </c>
      <c r="B7" s="6"/>
      <c r="C7" s="9" t="str">
        <f aca="false">IF(B7="","",Sequencial!$D$5/B7)</f>
        <v/>
      </c>
      <c r="D7" s="9" t="str">
        <f aca="false">IF(B7="","",$B$6/B7)</f>
        <v/>
      </c>
      <c r="E7" s="9" t="n">
        <f aca="false">A7</f>
        <v>2</v>
      </c>
      <c r="F7" s="10" t="str">
        <f aca="false">IF(B7="","",C7/A7)</f>
        <v/>
      </c>
    </row>
    <row r="8" customFormat="false" ht="15" hidden="false" customHeight="false" outlineLevel="0" collapsed="false">
      <c r="A8" s="4" t="n">
        <v>3</v>
      </c>
      <c r="B8" s="6"/>
      <c r="C8" s="9" t="str">
        <f aca="false">IF(B8="","",Sequencial!$D$5/B8)</f>
        <v/>
      </c>
      <c r="D8" s="9" t="str">
        <f aca="false">IF(B8="","",$B$6/B8)</f>
        <v/>
      </c>
      <c r="E8" s="9" t="n">
        <f aca="false">A8</f>
        <v>3</v>
      </c>
      <c r="F8" s="10" t="str">
        <f aca="false">IF(B8="","",C8/A8)</f>
        <v/>
      </c>
    </row>
    <row r="9" customFormat="false" ht="15" hidden="false" customHeight="false" outlineLevel="0" collapsed="false">
      <c r="A9" s="4" t="n">
        <v>4</v>
      </c>
      <c r="B9" s="6"/>
      <c r="C9" s="9" t="str">
        <f aca="false">IF(B9="","",Sequencial!$D$5/B9)</f>
        <v/>
      </c>
      <c r="D9" s="9" t="str">
        <f aca="false">IF(B9="","",$B$6/B9)</f>
        <v/>
      </c>
      <c r="E9" s="9" t="n">
        <f aca="false">A9</f>
        <v>4</v>
      </c>
      <c r="F9" s="10" t="str">
        <f aca="false">IF(B9="","",C9/A9)</f>
        <v/>
      </c>
    </row>
    <row r="10" customFormat="false" ht="15" hidden="false" customHeight="false" outlineLevel="0" collapsed="false">
      <c r="A10" s="4" t="n">
        <v>5</v>
      </c>
      <c r="B10" s="6"/>
      <c r="C10" s="9" t="str">
        <f aca="false">IF(B10="","",Sequencial!$D$5/B10)</f>
        <v/>
      </c>
      <c r="D10" s="9" t="str">
        <f aca="false">IF(B10="","",$B$6/B10)</f>
        <v/>
      </c>
      <c r="E10" s="9" t="n">
        <f aca="false">A10</f>
        <v>5</v>
      </c>
      <c r="F10" s="10" t="str">
        <f aca="false">IF(B10="","",C10/A10)</f>
        <v/>
      </c>
    </row>
    <row r="11" customFormat="false" ht="15" hidden="false" customHeight="false" outlineLevel="0" collapsed="false">
      <c r="A11" s="4" t="n">
        <v>6</v>
      </c>
      <c r="B11" s="6"/>
      <c r="C11" s="9" t="str">
        <f aca="false">IF(B11="","",Sequencial!$D$5/B11)</f>
        <v/>
      </c>
      <c r="D11" s="9" t="str">
        <f aca="false">IF(B11="","",$B$6/B11)</f>
        <v/>
      </c>
      <c r="E11" s="9" t="n">
        <f aca="false">A11</f>
        <v>6</v>
      </c>
      <c r="F11" s="10" t="str">
        <f aca="false">IF(B11="","",C11/A11)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2026-10-24T21:43:31Z</dcterms:created>
  <dc:creator>openpyxl</dc:creator>
  <dc:description/>
  <dc:language>en-US</dc:language>
  <cp:lastModifiedBy/>
  <dcterms:modified xsi:type="dcterms:W3CDTF">2026-10-24T21:43:34Z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