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_critical" sheetId="1" r:id="rId5"/>
    <sheet state="visible" name="V2_reduction" sheetId="2" r:id="rId6"/>
  </sheets>
  <definedNames/>
  <calcPr/>
</workbook>
</file>

<file path=xl/sharedStrings.xml><?xml version="1.0" encoding="utf-8"?>
<sst xmlns="http://schemas.openxmlformats.org/spreadsheetml/2006/main" count="34" uniqueCount="14">
  <si>
    <t>Versão 2 - omp for + reduction(+:soma)</t>
  </si>
  <si>
    <t>Speedup forte = T(1)/T(p). Speedup fraco (escalado) = p·T(1)/T(p). Eficiência = speedup/p. N fraca = threads × elementos por thread (base = 2^30 ÷ 6, divisão inteira, igual ao script).</t>
  </si>
  <si>
    <t>Escalabilidade FORTE (N fixo)</t>
  </si>
  <si>
    <t>N =</t>
  </si>
  <si>
    <t>Versão 1 - variável compartilhada + omp critical</t>
  </si>
  <si>
    <t>Escalabilidade FRACA (N proporcional às threads)</t>
  </si>
  <si>
    <t>Base por thread =</t>
  </si>
  <si>
    <t>Threads</t>
  </si>
  <si>
    <t>Tempo médio (s)</t>
  </si>
  <si>
    <t>Speedup</t>
  </si>
  <si>
    <t>Speedup ideal</t>
  </si>
  <si>
    <t>Eficiência</t>
  </si>
  <si>
    <t>N (elementos)</t>
  </si>
  <si>
    <t>Speedup escalado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</si>
</sst>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2" fontId="4" numFmtId="3" xfId="0" applyAlignment="1" applyBorder="1" applyFill="1" applyFont="1" applyNumberForma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0"/>
    </xf>
    <xf borderId="2" fillId="2" fontId="4" numFmtId="164" xfId="0" applyAlignment="1" applyBorder="1" applyFill="1" applyFont="1" applyNumberFormat="1">
      <alignment horizontal="center" readingOrder="0" shrinkToFit="0" vertical="bottom" wrapText="0"/>
    </xf>
    <xf borderId="2" fillId="0" fontId="5" numFmtId="2" xfId="0" applyAlignment="1" applyBorder="1" applyFont="1" applyNumberFormat="1">
      <alignment horizontal="center" shrinkToFit="0" vertical="bottom" wrapText="0"/>
    </xf>
    <xf borderId="2" fillId="0" fontId="5" numFmtId="9" xfId="0" applyAlignment="1" applyBorder="1" applyFont="1" applyNumberFormat="1">
      <alignment horizontal="center" shrinkToFit="0" vertical="bottom" wrapText="0"/>
    </xf>
    <xf borderId="2" fillId="0" fontId="5" numFmtId="3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- escalabilidade forte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Speedup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V1_critical!$A$7:$A$12</c:f>
            </c:strRef>
          </c:cat>
          <c:val>
            <c:numRef>
              <c:f>V1_critical!$C$7:$C$12</c:f>
              <c:numCache/>
            </c:numRef>
          </c:val>
          <c:smooth val="0"/>
        </c:ser>
        <c:ser>
          <c:idx val="1"/>
          <c:order val="1"/>
          <c:tx>
            <c:v>Speedup ideal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V1_critical!$A$7:$A$12</c:f>
            </c:strRef>
          </c:cat>
          <c:val>
            <c:numRef>
              <c:f>V1_critical!$D$7:$D$12</c:f>
              <c:numCache/>
            </c:numRef>
          </c:val>
          <c:smooth val="0"/>
        </c:ser>
        <c:axId val="295859039"/>
        <c:axId val="1960197326"/>
      </c:lineChart>
      <c:catAx>
        <c:axId val="29585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0197326"/>
      </c:catAx>
      <c:valAx>
        <c:axId val="1960197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58590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escalado - escalabilidade fraca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Speedup escalado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V1_critical!$H$7:$H$12</c:f>
            </c:strRef>
          </c:cat>
          <c:val>
            <c:numRef>
              <c:f>V1_critical!$K$7:$K$12</c:f>
              <c:numCache/>
            </c:numRef>
          </c:val>
          <c:smooth val="0"/>
        </c:ser>
        <c:ser>
          <c:idx val="1"/>
          <c:order val="1"/>
          <c:tx>
            <c:v>Speedup ideal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V1_critical!$H$7:$H$12</c:f>
            </c:strRef>
          </c:cat>
          <c:val>
            <c:numRef>
              <c:f>V1_critical!$L$7:$L$12</c:f>
              <c:numCache/>
            </c:numRef>
          </c:val>
          <c:smooth val="0"/>
        </c:ser>
        <c:axId val="1759993123"/>
        <c:axId val="687471982"/>
      </c:lineChart>
      <c:catAx>
        <c:axId val="1759993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87471982"/>
      </c:catAx>
      <c:valAx>
        <c:axId val="687471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999312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- escalabilidade forte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Speedup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V2_reduction!$A$7:$A$12</c:f>
            </c:strRef>
          </c:cat>
          <c:val>
            <c:numRef>
              <c:f>V2_reduction!$C$7:$C$12</c:f>
              <c:numCache/>
            </c:numRef>
          </c:val>
          <c:smooth val="0"/>
        </c:ser>
        <c:ser>
          <c:idx val="1"/>
          <c:order val="1"/>
          <c:tx>
            <c:v>Speedup ideal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V2_reduction!$A$7:$A$12</c:f>
            </c:strRef>
          </c:cat>
          <c:val>
            <c:numRef>
              <c:f>V2_reduction!$D$7:$D$12</c:f>
              <c:numCache/>
            </c:numRef>
          </c:val>
          <c:smooth val="0"/>
        </c:ser>
        <c:axId val="1782865765"/>
        <c:axId val="1365698471"/>
      </c:lineChart>
      <c:catAx>
        <c:axId val="1782865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5698471"/>
      </c:catAx>
      <c:valAx>
        <c:axId val="1365698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28657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escalado - escalabilidade fraca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Speedup escalado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7EBB">
                  <a:alpha val="100000"/>
                </a:srgbClr>
              </a:solidFill>
              <a:ln cmpd="sng">
                <a:solidFill>
                  <a:srgbClr val="4A7EBB">
                    <a:alpha val="100000"/>
                  </a:srgbClr>
                </a:solidFill>
              </a:ln>
            </c:spPr>
          </c:marker>
          <c:cat>
            <c:strRef>
              <c:f>V2_reduction!$H$7:$H$12</c:f>
            </c:strRef>
          </c:cat>
          <c:val>
            <c:numRef>
              <c:f>V2_reduction!$K$7:$K$12</c:f>
              <c:numCache/>
            </c:numRef>
          </c:val>
          <c:smooth val="0"/>
        </c:ser>
        <c:ser>
          <c:idx val="1"/>
          <c:order val="1"/>
          <c:tx>
            <c:v>Speedup ideal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V2_reduction!$H$7:$H$12</c:f>
            </c:strRef>
          </c:cat>
          <c:val>
            <c:numRef>
              <c:f>V2_reduction!$L$7:$L$12</c:f>
              <c:numCache/>
            </c:numRef>
          </c:val>
          <c:smooth val="0"/>
        </c:ser>
        <c:axId val="2032861487"/>
        <c:axId val="586392703"/>
      </c:lineChart>
      <c:catAx>
        <c:axId val="203286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6392703"/>
      </c:catAx>
      <c:valAx>
        <c:axId val="586392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286148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171450</xdr:rowOff>
    </xdr:from>
    <xdr:ext cx="4772025" cy="3038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12</xdr:row>
      <xdr:rowOff>171450</xdr:rowOff>
    </xdr:from>
    <xdr:ext cx="4810125" cy="30384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171450</xdr:rowOff>
    </xdr:from>
    <xdr:ext cx="4772025" cy="30384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12</xdr:row>
      <xdr:rowOff>171450</xdr:rowOff>
    </xdr:from>
    <xdr:ext cx="4810125" cy="3038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12.0"/>
    <col customWidth="1" min="4" max="4" width="14.0"/>
    <col customWidth="1" min="5" max="5" width="12.0"/>
    <col customWidth="1" min="6" max="7" width="4.0"/>
    <col customWidth="1" min="8" max="8" width="10.0"/>
    <col customWidth="1" min="9" max="10" width="16.0"/>
    <col customWidth="1" min="11" max="11" width="18.0"/>
    <col customWidth="1" min="12" max="12" width="14.0"/>
    <col customWidth="1" min="13" max="13" width="12.0"/>
    <col customWidth="1" min="14" max="26" width="8.71"/>
  </cols>
  <sheetData>
    <row r="1">
      <c r="A1" s="1" t="s">
        <v>4</v>
      </c>
    </row>
    <row r="2">
      <c r="A2" s="2"/>
    </row>
    <row r="3">
      <c r="A3" s="2" t="s">
        <v>1</v>
      </c>
    </row>
    <row r="5">
      <c r="A5" s="3" t="s">
        <v>2</v>
      </c>
      <c r="D5" s="4" t="s">
        <v>3</v>
      </c>
      <c r="E5" s="5">
        <v>2.68435456E8</v>
      </c>
      <c r="H5" s="3" t="s">
        <v>5</v>
      </c>
      <c r="L5" s="4" t="s">
        <v>6</v>
      </c>
      <c r="M5" s="5">
        <v>1.7895697E8</v>
      </c>
    </row>
    <row r="6" ht="30.0" customHeight="1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H6" s="6" t="s">
        <v>7</v>
      </c>
      <c r="I6" s="6" t="s">
        <v>12</v>
      </c>
      <c r="J6" s="6" t="s">
        <v>8</v>
      </c>
      <c r="K6" s="6" t="s">
        <v>13</v>
      </c>
      <c r="L6" s="6" t="s">
        <v>10</v>
      </c>
      <c r="M6" s="6" t="s">
        <v>11</v>
      </c>
    </row>
    <row r="7">
      <c r="A7" s="7">
        <v>1.0</v>
      </c>
      <c r="B7" s="8">
        <v>0.148363</v>
      </c>
      <c r="C7" s="9">
        <f t="shared" ref="C7:C12" si="1">IF(B7="","",$B$7/B7)</f>
        <v>1</v>
      </c>
      <c r="D7" s="9">
        <f t="shared" ref="D7:D12" si="2">A7</f>
        <v>1</v>
      </c>
      <c r="E7" s="10">
        <f t="shared" ref="E7:E12" si="3">IF(B7="","",C7/A7)</f>
        <v>1</v>
      </c>
      <c r="H7" s="7">
        <v>1.0</v>
      </c>
      <c r="I7" s="11">
        <f t="shared" ref="I7:I12" si="4">H7*$M$5</f>
        <v>178956970</v>
      </c>
      <c r="J7" s="8">
        <v>0.110103</v>
      </c>
      <c r="K7" s="9">
        <f t="shared" ref="K7:K12" si="5">IF(J7="","",H7*$J$7/J7)</f>
        <v>1</v>
      </c>
      <c r="L7" s="9">
        <f t="shared" ref="L7:L12" si="6">H7</f>
        <v>1</v>
      </c>
      <c r="M7" s="10">
        <f t="shared" ref="M7:M12" si="7">IF(J7="","",$J$7/J7)</f>
        <v>1</v>
      </c>
    </row>
    <row r="8">
      <c r="A8" s="7">
        <v>2.0</v>
      </c>
      <c r="B8" s="8">
        <v>0.101002</v>
      </c>
      <c r="C8" s="9">
        <f t="shared" si="1"/>
        <v>1.468911507</v>
      </c>
      <c r="D8" s="9">
        <f t="shared" si="2"/>
        <v>2</v>
      </c>
      <c r="E8" s="10">
        <f t="shared" si="3"/>
        <v>0.7344557534</v>
      </c>
      <c r="H8" s="7">
        <v>2.0</v>
      </c>
      <c r="I8" s="11">
        <f t="shared" si="4"/>
        <v>357913940</v>
      </c>
      <c r="J8" s="8">
        <v>0.130971</v>
      </c>
      <c r="K8" s="9">
        <f t="shared" si="5"/>
        <v>1.681334036</v>
      </c>
      <c r="L8" s="9">
        <f t="shared" si="6"/>
        <v>2</v>
      </c>
      <c r="M8" s="10">
        <f t="shared" si="7"/>
        <v>0.8406670179</v>
      </c>
    </row>
    <row r="9">
      <c r="A9" s="7">
        <v>3.0</v>
      </c>
      <c r="B9" s="8">
        <v>0.095221</v>
      </c>
      <c r="C9" s="9">
        <f t="shared" si="1"/>
        <v>1.558091177</v>
      </c>
      <c r="D9" s="9">
        <f t="shared" si="2"/>
        <v>3</v>
      </c>
      <c r="E9" s="10">
        <f t="shared" si="3"/>
        <v>0.5193637258</v>
      </c>
      <c r="H9" s="7">
        <v>3.0</v>
      </c>
      <c r="I9" s="11">
        <f t="shared" si="4"/>
        <v>536870910</v>
      </c>
      <c r="J9" s="8">
        <v>0.163042</v>
      </c>
      <c r="K9" s="9">
        <f t="shared" si="5"/>
        <v>2.025913568</v>
      </c>
      <c r="L9" s="9">
        <f t="shared" si="6"/>
        <v>3</v>
      </c>
      <c r="M9" s="10">
        <f t="shared" si="7"/>
        <v>0.6753045228</v>
      </c>
    </row>
    <row r="10">
      <c r="A10" s="7">
        <v>4.0</v>
      </c>
      <c r="B10" s="8">
        <v>0.082181</v>
      </c>
      <c r="C10" s="9">
        <f t="shared" si="1"/>
        <v>1.805319964</v>
      </c>
      <c r="D10" s="9">
        <f t="shared" si="2"/>
        <v>4</v>
      </c>
      <c r="E10" s="10">
        <f t="shared" si="3"/>
        <v>0.4513299911</v>
      </c>
      <c r="H10" s="7">
        <v>4.0</v>
      </c>
      <c r="I10" s="11">
        <f t="shared" si="4"/>
        <v>715827880</v>
      </c>
      <c r="J10" s="8">
        <v>0.186052</v>
      </c>
      <c r="K10" s="9">
        <f t="shared" si="5"/>
        <v>2.367144669</v>
      </c>
      <c r="L10" s="9">
        <f t="shared" si="6"/>
        <v>4</v>
      </c>
      <c r="M10" s="10">
        <f t="shared" si="7"/>
        <v>0.5917861673</v>
      </c>
    </row>
    <row r="11">
      <c r="A11" s="7">
        <v>5.0</v>
      </c>
      <c r="B11" s="8">
        <v>0.072338</v>
      </c>
      <c r="C11" s="9">
        <f t="shared" si="1"/>
        <v>2.050969062</v>
      </c>
      <c r="D11" s="9">
        <f t="shared" si="2"/>
        <v>5</v>
      </c>
      <c r="E11" s="10">
        <f t="shared" si="3"/>
        <v>0.4101938124</v>
      </c>
      <c r="H11" s="7">
        <v>5.0</v>
      </c>
      <c r="I11" s="11">
        <f t="shared" si="4"/>
        <v>894784850</v>
      </c>
      <c r="J11" s="8">
        <v>0.202828</v>
      </c>
      <c r="K11" s="9">
        <f t="shared" si="5"/>
        <v>2.714196265</v>
      </c>
      <c r="L11" s="9">
        <f t="shared" si="6"/>
        <v>5</v>
      </c>
      <c r="M11" s="10">
        <f t="shared" si="7"/>
        <v>0.542839253</v>
      </c>
    </row>
    <row r="12">
      <c r="A12" s="7">
        <v>6.0</v>
      </c>
      <c r="B12" s="8">
        <v>0.078532</v>
      </c>
      <c r="C12" s="9">
        <f t="shared" si="1"/>
        <v>1.889204401</v>
      </c>
      <c r="D12" s="9">
        <f t="shared" si="2"/>
        <v>6</v>
      </c>
      <c r="E12" s="10">
        <f t="shared" si="3"/>
        <v>0.3148674001</v>
      </c>
      <c r="H12" s="7">
        <v>6.0</v>
      </c>
      <c r="I12" s="11">
        <f t="shared" si="4"/>
        <v>1073741820</v>
      </c>
      <c r="J12" s="8">
        <v>0.242471</v>
      </c>
      <c r="K12" s="9">
        <f t="shared" si="5"/>
        <v>2.724523757</v>
      </c>
      <c r="L12" s="9">
        <f t="shared" si="6"/>
        <v>6</v>
      </c>
      <c r="M12" s="10">
        <f t="shared" si="7"/>
        <v>0.4540872929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12.0"/>
    <col customWidth="1" min="4" max="4" width="14.0"/>
    <col customWidth="1" min="5" max="5" width="12.0"/>
    <col customWidth="1" min="6" max="7" width="4.0"/>
    <col customWidth="1" min="8" max="8" width="10.0"/>
    <col customWidth="1" min="9" max="10" width="16.0"/>
    <col customWidth="1" min="11" max="11" width="18.0"/>
    <col customWidth="1" min="12" max="12" width="14.0"/>
    <col customWidth="1" min="13" max="13" width="12.0"/>
    <col customWidth="1" min="14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5">
      <c r="A5" s="3" t="s">
        <v>2</v>
      </c>
      <c r="D5" s="4" t="s">
        <v>3</v>
      </c>
      <c r="E5" s="5">
        <v>2.68435456E8</v>
      </c>
      <c r="H5" s="3" t="s">
        <v>5</v>
      </c>
      <c r="L5" s="4" t="s">
        <v>6</v>
      </c>
      <c r="M5" s="5">
        <v>1.7895697E8</v>
      </c>
    </row>
    <row r="6" ht="30.0" customHeight="1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H6" s="6" t="s">
        <v>7</v>
      </c>
      <c r="I6" s="6" t="s">
        <v>12</v>
      </c>
      <c r="J6" s="6" t="s">
        <v>8</v>
      </c>
      <c r="K6" s="6" t="s">
        <v>13</v>
      </c>
      <c r="L6" s="6" t="s">
        <v>10</v>
      </c>
      <c r="M6" s="6" t="s">
        <v>11</v>
      </c>
    </row>
    <row r="7">
      <c r="A7" s="7">
        <v>1.0</v>
      </c>
      <c r="B7" s="8">
        <v>0.149855</v>
      </c>
      <c r="C7" s="9">
        <f t="shared" ref="C7:C12" si="1">IF(B7="","",$B$7/B7)</f>
        <v>1</v>
      </c>
      <c r="D7" s="9">
        <f t="shared" ref="D7:D12" si="2">A7</f>
        <v>1</v>
      </c>
      <c r="E7" s="10">
        <f t="shared" ref="E7:E12" si="3">IF(B7="","",C7/A7)</f>
        <v>1</v>
      </c>
      <c r="H7" s="7">
        <v>1.0</v>
      </c>
      <c r="I7" s="11">
        <f t="shared" ref="I7:I12" si="4">H7*$M$5</f>
        <v>178956970</v>
      </c>
      <c r="J7" s="8">
        <v>0.1125</v>
      </c>
      <c r="K7" s="9">
        <f t="shared" ref="K7:K12" si="5">IF(J7="","",H7*$J$7/J7)</f>
        <v>1</v>
      </c>
      <c r="L7" s="9">
        <f t="shared" ref="L7:L12" si="6">H7</f>
        <v>1</v>
      </c>
      <c r="M7" s="10">
        <f t="shared" ref="M7:M12" si="7">IF(J7="","",$J$7/J7)</f>
        <v>1</v>
      </c>
    </row>
    <row r="8">
      <c r="A8" s="7">
        <v>2.0</v>
      </c>
      <c r="B8" s="8">
        <v>0.103561</v>
      </c>
      <c r="C8" s="9">
        <f t="shared" si="1"/>
        <v>1.447021562</v>
      </c>
      <c r="D8" s="9">
        <f t="shared" si="2"/>
        <v>2</v>
      </c>
      <c r="E8" s="10">
        <f t="shared" si="3"/>
        <v>0.7235107811</v>
      </c>
      <c r="H8" s="7">
        <v>2.0</v>
      </c>
      <c r="I8" s="11">
        <f t="shared" si="4"/>
        <v>357913940</v>
      </c>
      <c r="J8" s="8">
        <v>0.116741</v>
      </c>
      <c r="K8" s="9">
        <f t="shared" si="5"/>
        <v>1.927343435</v>
      </c>
      <c r="L8" s="9">
        <f t="shared" si="6"/>
        <v>2</v>
      </c>
      <c r="M8" s="10">
        <f t="shared" si="7"/>
        <v>0.9636717177</v>
      </c>
    </row>
    <row r="9">
      <c r="A9" s="7">
        <v>3.0</v>
      </c>
      <c r="B9" s="8">
        <v>0.091461</v>
      </c>
      <c r="C9" s="9">
        <f t="shared" si="1"/>
        <v>1.638457922</v>
      </c>
      <c r="D9" s="9">
        <f t="shared" si="2"/>
        <v>3</v>
      </c>
      <c r="E9" s="10">
        <f t="shared" si="3"/>
        <v>0.5461526407</v>
      </c>
      <c r="H9" s="7">
        <v>3.0</v>
      </c>
      <c r="I9" s="11">
        <f t="shared" si="4"/>
        <v>536870910</v>
      </c>
      <c r="J9" s="8">
        <v>0.179655</v>
      </c>
      <c r="K9" s="9">
        <f t="shared" si="5"/>
        <v>1.878600651</v>
      </c>
      <c r="L9" s="9">
        <f t="shared" si="6"/>
        <v>3</v>
      </c>
      <c r="M9" s="10">
        <f t="shared" si="7"/>
        <v>0.6262002171</v>
      </c>
    </row>
    <row r="10">
      <c r="A10" s="7">
        <v>4.0</v>
      </c>
      <c r="B10" s="8">
        <v>0.094358</v>
      </c>
      <c r="C10" s="9">
        <f t="shared" si="1"/>
        <v>1.588153628</v>
      </c>
      <c r="D10" s="9">
        <f t="shared" si="2"/>
        <v>4</v>
      </c>
      <c r="E10" s="10">
        <f t="shared" si="3"/>
        <v>0.3970384069</v>
      </c>
      <c r="H10" s="7">
        <v>4.0</v>
      </c>
      <c r="I10" s="11">
        <f t="shared" si="4"/>
        <v>715827880</v>
      </c>
      <c r="J10" s="8">
        <v>0.19069</v>
      </c>
      <c r="K10" s="9">
        <f t="shared" si="5"/>
        <v>2.359851067</v>
      </c>
      <c r="L10" s="9">
        <f t="shared" si="6"/>
        <v>4</v>
      </c>
      <c r="M10" s="10">
        <f t="shared" si="7"/>
        <v>0.5899627668</v>
      </c>
    </row>
    <row r="11">
      <c r="A11" s="7">
        <v>5.0</v>
      </c>
      <c r="B11" s="8">
        <v>0.075276</v>
      </c>
      <c r="C11" s="9">
        <f t="shared" si="1"/>
        <v>1.990740741</v>
      </c>
      <c r="D11" s="9">
        <f t="shared" si="2"/>
        <v>5</v>
      </c>
      <c r="E11" s="10">
        <f t="shared" si="3"/>
        <v>0.3981481481</v>
      </c>
      <c r="H11" s="7">
        <v>5.0</v>
      </c>
      <c r="I11" s="11">
        <f t="shared" si="4"/>
        <v>894784850</v>
      </c>
      <c r="J11" s="8">
        <v>0.215414</v>
      </c>
      <c r="K11" s="9">
        <f t="shared" si="5"/>
        <v>2.611250894</v>
      </c>
      <c r="L11" s="9">
        <f t="shared" si="6"/>
        <v>5</v>
      </c>
      <c r="M11" s="10">
        <f t="shared" si="7"/>
        <v>0.5222501787</v>
      </c>
    </row>
    <row r="12">
      <c r="A12" s="7">
        <v>6.0</v>
      </c>
      <c r="B12" s="8">
        <v>0.08072</v>
      </c>
      <c r="C12" s="9">
        <f t="shared" si="1"/>
        <v>1.856479187</v>
      </c>
      <c r="D12" s="9">
        <f t="shared" si="2"/>
        <v>6</v>
      </c>
      <c r="E12" s="10">
        <f t="shared" si="3"/>
        <v>0.3094131979</v>
      </c>
      <c r="H12" s="7">
        <v>6.0</v>
      </c>
      <c r="I12" s="11">
        <f t="shared" si="4"/>
        <v>1073741820</v>
      </c>
      <c r="J12" s="8">
        <v>0.254196</v>
      </c>
      <c r="K12" s="9">
        <f t="shared" si="5"/>
        <v>2.655431242</v>
      </c>
      <c r="L12" s="9">
        <f t="shared" si="6"/>
        <v>6</v>
      </c>
      <c r="M12" s="10">
        <f t="shared" si="7"/>
        <v>0.4425718737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